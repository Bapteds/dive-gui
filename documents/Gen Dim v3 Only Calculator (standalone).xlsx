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21120" tabRatio="600" firstSheet="0" activeTab="0" autoFilterDateGrouping="1"/>
  </bookViews>
  <sheets>
    <sheet name="Calculator" sheetId="1" state="visible" r:id="rId1"/>
    <sheet name="Tabelle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FF1F4E78"/>
      <sz val="14"/>
    </font>
    <font>
      <name val="Calibri"/>
      <i val="1"/>
      <color rgb="FF555555"/>
      <sz val="11"/>
    </font>
    <font>
      <name val="Calibri"/>
      <b val="1"/>
      <sz val="11"/>
    </font>
    <font>
      <name val="Calibri"/>
      <i val="1"/>
      <color rgb="FF777777"/>
      <sz val="11"/>
    </font>
    <font>
      <name val="Calibri"/>
      <b val="1"/>
      <color rgb="FFFFFFFF"/>
      <sz val="11"/>
    </font>
    <font>
      <name val="Calibri"/>
      <b val="1"/>
      <color rgb="FF1F4E78"/>
      <sz val="11"/>
    </font>
    <font>
      <name val="Calibri"/>
      <color rgb="FF555555"/>
      <sz val="11"/>
    </font>
  </fonts>
  <fills count="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164" fontId="3" fillId="0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3" fillId="0" borderId="1" pivotButton="0" quotePrefix="0" xfId="0"/>
    <xf numFmtId="164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" fontId="3" fillId="3" borderId="1" pivotButton="0" quotePrefix="0" xfId="0"/>
    <xf numFmtId="0" fontId="7" fillId="0" borderId="0" pivotButton="0" quotePrefix="0" xfId="0"/>
    <xf numFmtId="0" fontId="0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B4" sqref="B4"/>
    </sheetView>
  </sheetViews>
  <sheetFormatPr baseColWidth="8" defaultRowHeight="15"/>
  <cols>
    <col width="14" customWidth="1" style="17" min="1" max="1"/>
    <col width="13" customWidth="1" style="17" min="2" max="2"/>
    <col width="14" customWidth="1" style="17" min="3" max="3"/>
    <col width="44" customWidth="1" style="17" min="4" max="4"/>
    <col width="13" customWidth="1" style="17" min="5" max="5"/>
    <col width="56" customWidth="1" style="17" min="6" max="6"/>
  </cols>
  <sheetData>
    <row r="1" ht="18.75" customHeight="1" s="17">
      <c r="A1" s="1" t="inlineStr">
        <is>
          <t>Gen Dim - empirical relations calculator</t>
        </is>
      </c>
    </row>
    <row r="2">
      <c r="A2" s="2" t="inlineStr">
        <is>
          <t>Enter X1,X2,X3 (green). R frame is SUGGESTED automatically from X1+X4 - override if needed (yellow).</t>
        </is>
      </c>
    </row>
    <row r="3">
      <c r="A3" s="3" t="inlineStr">
        <is>
          <t>X1</t>
        </is>
      </c>
      <c r="B3" s="4" t="n">
        <v>1450</v>
      </c>
    </row>
    <row r="4">
      <c r="A4" s="3" t="inlineStr">
        <is>
          <t>X2</t>
        </is>
      </c>
      <c r="B4" s="4" t="n">
        <v>7</v>
      </c>
    </row>
    <row r="5">
      <c r="A5" s="3" t="inlineStr">
        <is>
          <t>X3</t>
        </is>
      </c>
      <c r="B5" s="4" t="n">
        <v>10</v>
      </c>
    </row>
    <row r="6">
      <c r="A6" s="3" t="inlineStr">
        <is>
          <t>X4 (optional)</t>
        </is>
      </c>
      <c r="B6" s="4" t="n"/>
      <c r="C6" s="5" t="inlineStr">
        <is>
          <t>&lt;- leave empty to compute X4 = 0.9*9.81*X2*X3</t>
        </is>
      </c>
    </row>
    <row r="7">
      <c r="A7" s="3" t="inlineStr">
        <is>
          <t>X4 used</t>
        </is>
      </c>
      <c r="B7" s="6">
        <f>IF($B$6&lt;&gt;"",$B$6,0.9*9.81*$B$4*$B$5)</f>
        <v/>
      </c>
    </row>
    <row r="8">
      <c r="A8" s="3" t="inlineStr">
        <is>
          <t>Suggested R</t>
        </is>
      </c>
      <c r="B8" s="7">
        <f>IF($B$7&gt;1560,115,IF($B$7&lt;=175,IF($B$3&lt;=940,26,46),IF($B$3&lt;=683,48,62)))</f>
        <v/>
      </c>
      <c r="C8" s="8" t="n"/>
      <c r="D8" s="5" t="inlineStr">
        <is>
          <t>&lt;- range rules on X1 &amp; X4 (~70-77% correct). Rare frames 36/38/45/77 are never suggested - set them via override.</t>
        </is>
      </c>
    </row>
    <row r="9">
      <c r="A9" s="3" t="inlineStr">
        <is>
          <t>R override</t>
        </is>
      </c>
      <c r="B9" s="9" t="n"/>
      <c r="C9" s="5" t="inlineStr">
        <is>
          <t>&lt;- type a frame here to override the suggestion (26,36,38,45,46,48,62,77,115)</t>
        </is>
      </c>
    </row>
    <row r="10">
      <c r="A10" s="3" t="inlineStr">
        <is>
          <t>R used</t>
        </is>
      </c>
      <c r="B10" s="7">
        <f>IF($B$9&lt;&gt;"",$B$9,$B$8)</f>
        <v/>
      </c>
    </row>
    <row r="12">
      <c r="A12" s="10" t="inlineStr">
        <is>
          <t>Output</t>
        </is>
      </c>
      <c r="B12" s="10" t="inlineStr">
        <is>
          <t>Value</t>
        </is>
      </c>
      <c r="C12" s="10" t="inlineStr">
        <is>
          <t>Depends on</t>
        </is>
      </c>
      <c r="D12" s="10" t="inlineStr">
        <is>
          <t>Formula</t>
        </is>
      </c>
      <c r="E12" s="10" t="inlineStr">
        <is>
          <t>R2/acc</t>
        </is>
      </c>
      <c r="F12" s="10" t="inlineStr">
        <is>
          <t>Note</t>
        </is>
      </c>
    </row>
    <row r="13">
      <c r="A13" s="11" t="inlineStr">
        <is>
          <t>Generator Length code</t>
        </is>
      </c>
      <c r="B13" s="12">
        <f>MAX(30,MIN(215,ROUND((132.21-0.8294*$B$10-0.0825*$B$3+13.861*$B$5)/5,0)*5))</f>
        <v/>
      </c>
      <c r="C13" s="13" t="inlineStr">
        <is>
          <t>R, X1, X3</t>
        </is>
      </c>
      <c r="D13" s="13" t="inlineStr">
        <is>
          <t>round5(132.21 - 0.8294*R - 0.0825*X1 + 13.861*X3)</t>
        </is>
      </c>
      <c r="E13" s="14" t="inlineStr">
        <is>
          <t>0.71</t>
        </is>
      </c>
      <c r="F13" s="13" t="inlineStr">
        <is>
          <t>snapped to catalog step 5, clamped 30-215; typ. within 1-2 steps</t>
        </is>
      </c>
    </row>
    <row r="14">
      <c r="A14" s="11" t="inlineStr">
        <is>
          <t>Generator Radius code</t>
        </is>
      </c>
      <c r="B14" s="12">
        <f>$B$10</f>
        <v/>
      </c>
      <c r="C14" s="13" t="inlineStr">
        <is>
          <t>X1, X4 (lookup)</t>
        </is>
      </c>
      <c r="D14" s="13" t="inlineStr">
        <is>
          <t>nearest historical (X1,X4) match</t>
        </is>
      </c>
      <c r="E14" s="14" t="inlineStr">
        <is>
          <t>73% / 91% top-2</t>
        </is>
      </c>
      <c r="F14" s="13" t="inlineStr">
        <is>
          <t>see suggestion above; override in B9</t>
        </is>
      </c>
    </row>
    <row r="15">
      <c r="A15" s="11" t="inlineStr">
        <is>
          <t>Generator Diameter</t>
        </is>
      </c>
      <c r="B15" s="15">
        <f>IFERROR(LOOKUP($B$10,{26,36,38,45,46,48,62,77,115},{572,745,753,976,933,986,1242,1545,2225}),72.477+19.012*$B$10)</f>
        <v/>
      </c>
      <c r="C15" s="13" t="inlineStr">
        <is>
          <t>R (catalog)</t>
        </is>
      </c>
      <c r="D15" s="13" t="inlineStr">
        <is>
          <t>exact lookup: one G1 per frame</t>
        </is>
      </c>
      <c r="E15" s="14" t="inlineStr">
        <is>
          <t>exact</t>
        </is>
      </c>
      <c r="F15" s="13" t="inlineStr">
        <is>
          <t>catalog value per frame; R=62 also exists with 1272, R=48 with 1026</t>
        </is>
      </c>
    </row>
    <row r="16">
      <c r="A16" s="11" t="inlineStr">
        <is>
          <t>Generator Length</t>
        </is>
      </c>
      <c r="B16" s="12">
        <f>71.258+0.45856*B15+6.2368*B13</f>
        <v/>
      </c>
      <c r="C16" s="13" t="inlineStr">
        <is>
          <t>G1, L</t>
        </is>
      </c>
      <c r="D16" s="13" t="inlineStr">
        <is>
          <t>71.26 + 0.4586*G1 + 6.2368*L</t>
        </is>
      </c>
      <c r="E16" s="14" t="n">
        <v>0.93</v>
      </c>
      <c r="F16" s="13" t="inlineStr">
        <is>
          <t>diameter part (G1) + length part (L); typ. error ~6%</t>
        </is>
      </c>
    </row>
    <row r="17">
      <c r="A17" s="11" t="inlineStr">
        <is>
          <t>Dome height</t>
        </is>
      </c>
      <c r="B17" s="12">
        <f>79.609+0.21315*B15</f>
        <v/>
      </c>
      <c r="C17" s="13" t="inlineStr">
        <is>
          <t>G1</t>
        </is>
      </c>
      <c r="D17" s="13" t="inlineStr">
        <is>
          <t>79.61 + 0.2132*G1</t>
        </is>
      </c>
      <c r="E17" s="14" t="n">
        <v>0.71</v>
      </c>
      <c r="F17" s="13" t="inlineStr">
        <is>
          <t>driven by frame diameter G1</t>
        </is>
      </c>
    </row>
    <row r="19">
      <c r="A19" s="18" t="inlineStr">
        <is>
          <t>How this works (all LOO cross-validated, outliers removed):</t>
        </is>
      </c>
    </row>
    <row r="20">
      <c r="A20" s="16" t="inlineStr">
        <is>
          <t>X4 = 0.9*9.81*X2*X3 (verified on data: median deviation 9%, 50/53 rows within 20%). Manual X4 in B6 takes priority.</t>
        </is>
      </c>
    </row>
    <row r="21">
      <c r="A21" s="16" t="inlineStr">
        <is>
          <t>R : range rules on X1 and X4 -&gt; X4&gt;1560:115 | X4&lt;=175: X1&lt;=940-&gt;26 else 46 | else: X1&lt;=683-&gt;48 else 62. (~70-77% correct)</t>
        </is>
      </c>
    </row>
    <row r="22">
      <c r="A22" s="16" t="inlineStr">
        <is>
          <t>L : 132.21 - 0.8294*R - 0.0825*X1 + 13.861*X3 (LOO R2 0.71), rounded to nearest 5 and clamped to catalog 30..215.</t>
        </is>
      </c>
    </row>
    <row r="23">
      <c r="A23" s="16" t="inlineStr">
        <is>
          <t xml:space="preserve">    NOTE: identical (X1,X3,R) in history were built with different L (e.g. 75 vs 85) - exact L is not determined by inputs; expect +-1..2 steps.</t>
        </is>
      </c>
    </row>
    <row r="24">
      <c r="A24" s="16" t="inlineStr">
        <is>
          <t>G1 : catalog value per frame, built into the formula (572/745/753/976/933/986/1242/1545/2225).</t>
        </is>
      </c>
    </row>
    <row r="25">
      <c r="A25" s="16" t="inlineStr">
        <is>
          <t>Chain: X1,X2,X3 -&gt; X4 -&gt; R (range rules) ; R,X1,X3 -&gt; L ; R -&gt; G1 ; G1,L -&gt; G2 ; G1 -&gt; G3.  Fully standalone - no other sheets needed.</t>
        </is>
      </c>
    </row>
  </sheetData>
  <mergeCells count="7">
    <mergeCell ref="A24:F24"/>
    <mergeCell ref="A19:F19"/>
    <mergeCell ref="A23:F23"/>
    <mergeCell ref="A22:F22"/>
    <mergeCell ref="A20:F20"/>
    <mergeCell ref="A21:F2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Hristo Dimitrov</dc:creator>
  <dcterms:created xsi:type="dcterms:W3CDTF">2015-06-05T18:19:34Z</dcterms:created>
  <dcterms:modified xsi:type="dcterms:W3CDTF">2026-09-02T08:58:12Z</dcterms:modified>
  <cp:lastModifiedBy>Hristo Dimitrov</cp:lastModifiedBy>
</cp:coreProperties>
</file>